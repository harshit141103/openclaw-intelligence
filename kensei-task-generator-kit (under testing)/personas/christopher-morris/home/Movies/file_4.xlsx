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0" customWidth="1" min="4" max="4"/>
    <col width="18" customWidth="1" min="5" max="5"/>
    <col width="10" customWidth="1" min="6" max="6"/>
    <col width="24" customWidth="1" min="7" max="7"/>
  </cols>
  <sheetData>
    <row r="1">
      <c r="A1" s="1" t="inlineStr">
        <is>
          <t>Meridian Benefits Group, 2027 Renewal Analysis</t>
        </is>
      </c>
    </row>
    <row r="2">
      <c r="A2" s="2" t="inlineStr">
        <is>
          <t>Analyst: Christopher Morris   |   Confidential   |   Prepared December 2026 for January 2027 renewals</t>
        </is>
      </c>
    </row>
    <row r="4">
      <c r="A4" s="3" t="inlineStr">
        <is>
          <t>Client Account</t>
        </is>
      </c>
      <c r="B4" s="3" t="inlineStr">
        <is>
          <t>Industry</t>
        </is>
      </c>
      <c r="C4" s="3" t="inlineStr">
        <is>
          <t>Enrolled</t>
        </is>
      </c>
      <c r="D4" s="3" t="inlineStr">
        <is>
          <t>Current Annual Premium</t>
        </is>
      </c>
      <c r="E4" s="3" t="inlineStr">
        <is>
          <t>Renewal Premium</t>
        </is>
      </c>
      <c r="F4" s="3" t="inlineStr">
        <is>
          <t>Change %</t>
        </is>
      </c>
      <c r="G4" s="3" t="inlineStr">
        <is>
          <t>Recommendation</t>
        </is>
      </c>
    </row>
    <row r="5">
      <c r="A5" s="4" t="inlineStr">
        <is>
          <t>Lakeshore Logistics</t>
        </is>
      </c>
      <c r="B5" s="4" t="inlineStr">
        <is>
          <t>Transport</t>
        </is>
      </c>
      <c r="C5" s="4" t="n">
        <v>142</v>
      </c>
      <c r="D5" s="5" t="n">
        <v>1284000</v>
      </c>
      <c r="E5" s="5" t="n">
        <v>1378000</v>
      </c>
      <c r="F5" s="6">
        <f>(E5-D5)/D5</f>
        <v/>
      </c>
      <c r="G5" s="4" t="inlineStr">
        <is>
          <t>Negotiate, market check</t>
        </is>
      </c>
    </row>
    <row r="6">
      <c r="A6" s="4" t="inlineStr">
        <is>
          <t>Cornerstone Manufacturing</t>
        </is>
      </c>
      <c r="B6" s="4" t="inlineStr">
        <is>
          <t>Manufacturing</t>
        </is>
      </c>
      <c r="C6" s="4" t="n">
        <v>318</v>
      </c>
      <c r="D6" s="5" t="n">
        <v>3021000</v>
      </c>
      <c r="E6" s="5" t="n">
        <v>3262000</v>
      </c>
      <c r="F6" s="6">
        <f>(E6-D6)/D6</f>
        <v/>
      </c>
      <c r="G6" s="4" t="inlineStr">
        <is>
          <t>Accept with wellness credit</t>
        </is>
      </c>
    </row>
    <row r="7">
      <c r="A7" s="4" t="inlineStr">
        <is>
          <t>Prairie Dental Partners</t>
        </is>
      </c>
      <c r="B7" s="4" t="inlineStr">
        <is>
          <t>Healthcare</t>
        </is>
      </c>
      <c r="C7" s="4" t="n">
        <v>64</v>
      </c>
      <c r="D7" s="5" t="n">
        <v>612000</v>
      </c>
      <c r="E7" s="5" t="n">
        <v>648000</v>
      </c>
      <c r="F7" s="6">
        <f>(E7-D7)/D7</f>
        <v/>
      </c>
      <c r="G7" s="4" t="inlineStr">
        <is>
          <t>Accept</t>
        </is>
      </c>
    </row>
    <row r="8">
      <c r="A8" s="4" t="inlineStr">
        <is>
          <t>Halsted Press Group</t>
        </is>
      </c>
      <c r="B8" s="4" t="inlineStr">
        <is>
          <t>Publishing</t>
        </is>
      </c>
      <c r="C8" s="4" t="n">
        <v>88</v>
      </c>
      <c r="D8" s="5" t="n">
        <v>798000</v>
      </c>
      <c r="E8" s="5" t="n">
        <v>922000</v>
      </c>
      <c r="F8" s="6">
        <f>(E8-D8)/D8</f>
        <v/>
      </c>
      <c r="G8" s="4" t="inlineStr">
        <is>
          <t>Alternate funding review</t>
        </is>
      </c>
    </row>
    <row r="9">
      <c r="A9" s="4" t="inlineStr">
        <is>
          <t>Midway Tool and Die</t>
        </is>
      </c>
      <c r="B9" s="4" t="inlineStr">
        <is>
          <t>Manufacturing</t>
        </is>
      </c>
      <c r="C9" s="4" t="n">
        <v>121</v>
      </c>
      <c r="D9" s="5" t="n">
        <v>1098000</v>
      </c>
      <c r="E9" s="5" t="n">
        <v>1142000</v>
      </c>
      <c r="F9" s="6">
        <f>(E9-D9)/D9</f>
        <v/>
      </c>
      <c r="G9" s="4" t="inlineStr">
        <is>
          <t>Accept</t>
        </is>
      </c>
    </row>
    <row r="10">
      <c r="A10" s="4" t="inlineStr">
        <is>
          <t>Greenfield Senior Living</t>
        </is>
      </c>
      <c r="B10" s="4" t="inlineStr">
        <is>
          <t>Healthcare</t>
        </is>
      </c>
      <c r="C10" s="4" t="n">
        <v>205</v>
      </c>
      <c r="D10" s="5" t="n">
        <v>1860000</v>
      </c>
      <c r="E10" s="5" t="n">
        <v>2046000</v>
      </c>
      <c r="F10" s="6">
        <f>(E10-D10)/D10</f>
        <v/>
      </c>
      <c r="G10" s="4" t="inlineStr">
        <is>
          <t>Negotiate, high claims</t>
        </is>
      </c>
    </row>
    <row r="11">
      <c r="A11" s="4" t="inlineStr">
        <is>
          <t>Fox Valley Credit Union</t>
        </is>
      </c>
      <c r="B11" s="4" t="inlineStr">
        <is>
          <t>Financial</t>
        </is>
      </c>
      <c r="C11" s="4" t="n">
        <v>96</v>
      </c>
      <c r="D11" s="5" t="n">
        <v>924000</v>
      </c>
      <c r="E11" s="5" t="n">
        <v>961000</v>
      </c>
      <c r="F11" s="6">
        <f>(E11-D11)/D11</f>
        <v/>
      </c>
      <c r="G11" s="4" t="inlineStr">
        <is>
          <t>Accept</t>
        </is>
      </c>
    </row>
    <row r="12">
      <c r="A12" s="4" t="inlineStr">
        <is>
          <t>Aldridge Architects</t>
        </is>
      </c>
      <c r="B12" s="4" t="inlineStr">
        <is>
          <t>Professional</t>
        </is>
      </c>
      <c r="C12" s="4" t="n">
        <v>47</v>
      </c>
      <c r="D12" s="5" t="n">
        <v>441000</v>
      </c>
      <c r="E12" s="5" t="n">
        <v>458000</v>
      </c>
      <c r="F12" s="6">
        <f>(E12-D12)/D12</f>
        <v/>
      </c>
      <c r="G12" s="4" t="inlineStr">
        <is>
          <t>Accept</t>
        </is>
      </c>
    </row>
    <row r="13">
      <c r="A13" s="4" t="inlineStr">
        <is>
          <t>Northbrook Foods</t>
        </is>
      </c>
      <c r="B13" s="4" t="inlineStr">
        <is>
          <t>Food Service</t>
        </is>
      </c>
      <c r="C13" s="4" t="n">
        <v>173</v>
      </c>
      <c r="D13" s="5" t="n">
        <v>1471000</v>
      </c>
      <c r="E13" s="5" t="n">
        <v>1604000</v>
      </c>
      <c r="F13" s="6">
        <f>(E13-D13)/D13</f>
        <v/>
      </c>
      <c r="G13" s="4" t="inlineStr">
        <is>
          <t>Plan redesign options</t>
        </is>
      </c>
    </row>
    <row r="14">
      <c r="A14" s="4" t="inlineStr">
        <is>
          <t>Talbot Insurance Svcs</t>
        </is>
      </c>
      <c r="B14" s="4" t="inlineStr">
        <is>
          <t>Financial</t>
        </is>
      </c>
      <c r="C14" s="4" t="n">
        <v>58</v>
      </c>
      <c r="D14" s="5" t="n">
        <v>552000</v>
      </c>
      <c r="E14" s="5" t="n">
        <v>569000</v>
      </c>
      <c r="F14" s="6">
        <f>(E14-D14)/D14</f>
        <v/>
      </c>
      <c r="G14" s="4" t="inlineStr">
        <is>
          <t>Accept</t>
        </is>
      </c>
    </row>
    <row r="15">
      <c r="A15" s="4" t="inlineStr">
        <is>
          <t>Riverside Logistics</t>
        </is>
      </c>
      <c r="B15" s="4" t="inlineStr">
        <is>
          <t>Transport</t>
        </is>
      </c>
      <c r="C15" s="4" t="n">
        <v>134</v>
      </c>
      <c r="D15" s="5" t="n">
        <v>1206000</v>
      </c>
      <c r="E15" s="5" t="n">
        <v>1290000</v>
      </c>
      <c r="F15" s="6">
        <f>(E15-D15)/D15</f>
        <v/>
      </c>
      <c r="G15" s="4" t="inlineStr">
        <is>
          <t>Negotiate</t>
        </is>
      </c>
    </row>
    <row r="16">
      <c r="A16" s="4" t="inlineStr">
        <is>
          <t>Summit Engineering</t>
        </is>
      </c>
      <c r="B16" s="4" t="inlineStr">
        <is>
          <t>Professional</t>
        </is>
      </c>
      <c r="C16" s="4" t="n">
        <v>79</v>
      </c>
      <c r="D16" s="5" t="n">
        <v>726000</v>
      </c>
      <c r="E16" s="5" t="n">
        <v>751000</v>
      </c>
      <c r="F16" s="6">
        <f>(E16-D16)/D16</f>
        <v/>
      </c>
      <c r="G16" s="4" t="inlineStr">
        <is>
          <t>Accept</t>
        </is>
      </c>
    </row>
    <row r="17">
      <c r="A17" s="7" t="inlineStr">
        <is>
          <t>TOTAL BOOK</t>
        </is>
      </c>
      <c r="C17" s="7">
        <f>SUM(C5:C16)</f>
        <v/>
      </c>
      <c r="D17" s="8">
        <f>SUM(D5:D16)</f>
        <v/>
      </c>
      <c r="E17" s="8">
        <f>SUM(E5:E16)</f>
        <v/>
      </c>
      <c r="F17" s="9">
        <f>(E17-D17)/D17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2026-06-08T11:28:07Z</dcterms:created>
  <dcterms:modified xmlns:dcterms="http://purl.org/dc/terms/" xmlns:xsi="http://www.w3.org/2001/XMLSchema-instance" xsi:type="dcterms:W3CDTF">2026-06-08T11:28:07Z</dcterms:modified>
</cp:coreProperties>
</file>