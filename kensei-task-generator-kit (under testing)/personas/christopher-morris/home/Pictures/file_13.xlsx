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6">
    <font>
      <name val="Calibri"/>
      <family val="2"/>
      <color theme="1"/>
      <sz val="11"/>
      <scheme val="minor"/>
    </font>
    <font>
      <b val="1"/>
      <color rgb="001F3A5F"/>
      <sz val="14"/>
    </font>
    <font>
      <i val="1"/>
      <color rgb="00555555"/>
    </font>
    <font>
      <b val="1"/>
    </font>
    <font>
      <i val="1"/>
      <color rgb="00777777"/>
    </font>
    <font>
      <b val="1"/>
      <color rgb="000B5D3B"/>
    </font>
  </fonts>
  <fills count="3">
    <fill>
      <patternFill/>
    </fill>
    <fill>
      <patternFill patternType="gray125"/>
    </fill>
    <fill>
      <patternFill patternType="solid">
        <fgColor rgb="00D6DC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56" customWidth="1" min="1" max="1"/>
    <col width="14" customWidth="1" min="2" max="2"/>
  </cols>
  <sheetData>
    <row r="1">
      <c r="A1" s="1" t="inlineStr">
        <is>
          <t>Morris Household Budget</t>
        </is>
      </c>
    </row>
    <row r="2">
      <c r="A2" s="2" t="inlineStr">
        <is>
          <t>Month: November 2026   |   Christopher's side of the household tracking</t>
        </is>
      </c>
    </row>
    <row r="3">
      <c r="A3" s="2" t="inlineStr">
        <is>
          <t>Combined household take-home is about $12,300/mo. This sheet tracks the expenses I cover from my take-home.</t>
        </is>
      </c>
    </row>
    <row r="5">
      <c r="A5" s="3" t="inlineStr">
        <is>
          <t>MY INCOME (Take-Home)</t>
        </is>
      </c>
      <c r="B5" s="4" t="n"/>
    </row>
    <row r="6">
      <c r="A6" t="inlineStr">
        <is>
          <t>Christopher net (Meridian Benefits Group)</t>
        </is>
      </c>
      <c r="B6" s="5" t="n">
        <v>5800</v>
      </c>
    </row>
    <row r="7">
      <c r="A7" s="6" t="inlineStr">
        <is>
          <t>Greg net, directed to savings, retirement, and college (tracked separately)</t>
        </is>
      </c>
      <c r="B7" s="7" t="n">
        <v>6500</v>
      </c>
    </row>
    <row r="9">
      <c r="A9" s="3" t="inlineStr">
        <is>
          <t>EXPENSES</t>
        </is>
      </c>
      <c r="B9" s="4" t="n"/>
    </row>
    <row r="10">
      <c r="A10" t="inlineStr">
        <is>
          <t>Mortgage (P&amp;I + escrow), Prairie State CU</t>
        </is>
      </c>
      <c r="B10" s="5" t="n">
        <v>1680</v>
      </c>
    </row>
    <row r="11">
      <c r="A11" t="inlineStr">
        <is>
          <t>Utilities (Naperville electric/water + Nicor gas)</t>
        </is>
      </c>
      <c r="B11" s="5" t="n">
        <v>340</v>
      </c>
    </row>
    <row r="12">
      <c r="A12" t="inlineStr">
        <is>
          <t>Honda Pilot loan (Honda Financial)</t>
        </is>
      </c>
      <c r="B12" s="5" t="n">
        <v>420</v>
      </c>
    </row>
    <row r="13">
      <c r="A13" t="inlineStr">
        <is>
          <t>Auto insurance (State Farm, 2 vehicles)</t>
        </is>
      </c>
      <c r="B13" s="5" t="n">
        <v>195</v>
      </c>
    </row>
    <row r="14">
      <c r="A14" t="inlineStr">
        <is>
          <t>Groceries</t>
        </is>
      </c>
      <c r="B14" s="5" t="n">
        <v>580</v>
      </c>
    </row>
    <row r="15">
      <c r="A15" t="inlineStr">
        <is>
          <t>Gas (fuel)</t>
        </is>
      </c>
      <c r="B15" s="5" t="n">
        <v>160</v>
      </c>
    </row>
    <row r="16">
      <c r="A16" t="inlineStr">
        <is>
          <t>Verizon family plan (4 lines)</t>
        </is>
      </c>
      <c r="B16" s="5" t="n">
        <v>145</v>
      </c>
    </row>
    <row r="17">
      <c r="A17" t="inlineStr">
        <is>
          <t>Health insurance (UHC payroll share)</t>
        </is>
      </c>
      <c r="B17" s="5" t="n">
        <v>310</v>
      </c>
    </row>
    <row r="18">
      <c r="A18" t="inlineStr">
        <is>
          <t>Subscriptions (Netflix, Disney+, Spotify, Kindle, cloud)</t>
        </is>
      </c>
      <c r="B18" s="5" t="n">
        <v>68</v>
      </c>
    </row>
    <row r="19">
      <c r="A19" t="inlineStr">
        <is>
          <t>Dining out</t>
        </is>
      </c>
      <c r="B19" s="5" t="n">
        <v>180</v>
      </c>
    </row>
    <row r="20">
      <c r="A20" t="inlineStr">
        <is>
          <t>Children's activities (swim, band, basketball, robotics)</t>
        </is>
      </c>
      <c r="B20" s="5" t="n">
        <v>250</v>
      </c>
    </row>
    <row r="21">
      <c r="A21" t="inlineStr">
        <is>
          <t>Personal and miscellaneous</t>
        </is>
      </c>
      <c r="B21" s="5" t="n">
        <v>120</v>
      </c>
    </row>
    <row r="22">
      <c r="A22" t="inlineStr">
        <is>
          <t>529 contribution, Owen (Vanguard)</t>
        </is>
      </c>
      <c r="B22" s="5" t="n">
        <v>150</v>
      </c>
    </row>
    <row r="23">
      <c r="A23" t="inlineStr">
        <is>
          <t>529 contribution, Sophie (Vanguard)</t>
        </is>
      </c>
      <c r="B23" s="5" t="n">
        <v>150</v>
      </c>
    </row>
    <row r="24">
      <c r="A24" s="8" t="inlineStr">
        <is>
          <t>Total Expenses I Cover</t>
        </is>
      </c>
      <c r="B24" s="9">
        <f>SUM(B10:B23)</f>
        <v/>
      </c>
    </row>
    <row r="26">
      <c r="A26" s="10" t="inlineStr">
        <is>
          <t>Remaining from My Take-Home (to joint savings, emergency, irregular)</t>
        </is>
      </c>
      <c r="B26" s="11">
        <f>B6-B24</f>
        <v/>
      </c>
    </row>
    <row r="28">
      <c r="A28" s="8" t="inlineStr">
        <is>
          <t>Notes:</t>
        </is>
      </c>
    </row>
    <row r="29">
      <c r="A29" s="2" t="inlineStr">
        <is>
          <t xml:space="preserve">  Each spouse keeps $200/mo personal spending money (tracked separately).</t>
        </is>
      </c>
    </row>
    <row r="30">
      <c r="A30" s="2" t="inlineStr">
        <is>
          <t xml:space="preserve">  Emergency fund target $40,000, currently about $34,100 at Prairie State CU.</t>
        </is>
      </c>
    </row>
    <row r="31">
      <c r="A31" s="2" t="inlineStr">
        <is>
          <t xml:space="preserve">  Furnace replacement is the next big irregular expense, getting quotes now.</t>
        </is>
      </c>
    </row>
    <row r="32">
      <c r="A32" s="2" t="inlineStr">
        <is>
          <t xml:space="preserve">  No credit card debt. Chase Freedom and Discover paid in full each month.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2026-06-08T11:30:02Z</dcterms:created>
  <dcterms:modified xmlns:dcterms="http://purl.org/dc/terms/" xmlns:xsi="http://www.w3.org/2001/XMLSchema-instance" xsi:type="dcterms:W3CDTF">2026-06-08T11:30:02Z</dcterms:modified>
</cp:coreProperties>
</file>